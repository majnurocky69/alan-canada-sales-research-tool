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Target Lead Propensity (ICP Match)</a:t>
            </a:r>
          </a:p>
        </rich>
      </tx>
    </title>
    <plotArea>
      <barChart>
        <barDir val="col"/>
        <grouping val="clustered"/>
        <ser>
          <idx val="0"/>
          <order val="0"/>
          <tx>
            <strRef>
              <f>'Sheet1'!D1</f>
            </strRef>
          </tx>
          <spPr>
            <a:ln xmlns:a="http://schemas.openxmlformats.org/drawingml/2006/main">
              <a:prstDash val="solid"/>
            </a:ln>
          </spPr>
          <cat>
            <numRef>
              <f>'Sheet1'!$B$2:$B$6</f>
            </numRef>
          </cat>
          <val>
            <numRef>
              <f>'Sheet1'!$D$2:$D$6</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Target Company</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Score / 100</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14</col>
      <colOff>0</colOff>
      <row>1</row>
      <rowOff>0</rowOff>
    </from>
    <ext cx="900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1" t="inlineStr">
        <is>
          <t>Scanned_Date</t>
        </is>
      </c>
      <c r="B1" s="1" t="inlineStr">
        <is>
          <t>Company_Name</t>
        </is>
      </c>
      <c r="C1" s="1" t="inlineStr">
        <is>
          <t>Domain</t>
        </is>
      </c>
      <c r="D1" s="1" t="inlineStr">
        <is>
          <t>Propensity_Score</t>
        </is>
      </c>
      <c r="E1" s="1" t="inlineStr">
        <is>
          <t>Employee_Count</t>
        </is>
      </c>
      <c r="F1" s="1" t="inlineStr">
        <is>
          <t>Location</t>
        </is>
      </c>
      <c r="G1" s="1" t="inlineStr">
        <is>
          <t>Industry</t>
        </is>
      </c>
      <c r="H1" s="1" t="inlineStr">
        <is>
          <t>Annual_Revenue</t>
        </is>
      </c>
      <c r="I1" s="1" t="inlineStr">
        <is>
          <t>Total_Funding</t>
        </is>
      </c>
      <c r="J1" s="1" t="inlineStr">
        <is>
          <t>Executive_Summary</t>
        </is>
      </c>
      <c r="K1" s="1" t="inlineStr">
        <is>
          <t>Historical_Trend</t>
        </is>
      </c>
      <c r="L1" s="1" t="inlineStr">
        <is>
          <t>Score_Justification</t>
        </is>
      </c>
      <c r="M1" s="1" t="inlineStr">
        <is>
          <t>Key_Decision_Makers_Found</t>
        </is>
      </c>
    </row>
    <row r="2">
      <c r="A2" t="inlineStr">
        <is>
          <t>2026-03-30 05:56</t>
        </is>
      </c>
      <c r="B2" t="inlineStr">
        <is>
          <t>Shopify</t>
        </is>
      </c>
      <c r="D2" t="n">
        <v>35</v>
      </c>
      <c r="E2" t="n">
        <v>8100</v>
      </c>
      <c r="F2" t="inlineStr">
        <is>
          <t>Ottawa, Ontario, Canada</t>
        </is>
      </c>
      <c r="G2" t="inlineStr">
        <is>
          <t>information technology &amp; services</t>
        </is>
      </c>
      <c r="H2" t="inlineStr">
        <is>
          <t>11.6B</t>
        </is>
      </c>
      <c r="I2" t="inlineStr">
        <is>
          <t>None/Not Disclosed</t>
        </is>
      </c>
      <c r="J2" t="inlineStr">
        <is>
          <t>Shopify is a global e-commerce platform based in Ottawa, Ontario, with a substantial annual revenue of $11.6 billion in 2025. While its funding stage is listed as 'Unknown' due to being a publicly traded company, the company continues to demonstrate robust year-over-year revenue growth. It actively pursues new market entries by supporting global commerce, B2B solutions, and reaching millions of merchants and high-intent shoppers. However, recent news points to a strategic shift, marked by reported layoffs, indicating a departure from its rapid 'start-up dream' phase.</t>
        </is>
      </c>
      <c r="K2" t="inlineStr">
        <is>
          <t>Shopify has exhibited strong year-over-year revenue growth: $7.06 billion in 2023, an increase of 25.78% to $8.88 billion in 2024, and a further 30.14% increase to $11.556 billion in 2025. As a public company, traditional funding history progression is not applicable. While the company's headcount is currently 8100, recent news of layoffs suggests a negative trajectory in employee count, despite consistent revenue growth.</t>
        </is>
      </c>
      <c r="L2" t="inlineStr">
        <is>
          <t>Shopify received a low score primarily because its employee count of 8100 is significantly above our software platform's ideal target range (5-100 employees), incurring a severe penalty. Although its headquarters in Ontario is a perfect geographical fit, there is no explicit mention of internal HR/People Ops hiring or a focus on employee culture/wellness initiatives in the provided data. However, recent news highlighting layoffs serves as a strong pain signal regarding employee morale and retention.</t>
        </is>
      </c>
      <c r="M2" t="inlineStr">
        <is>
          <t>No</t>
        </is>
      </c>
    </row>
    <row r="3">
      <c r="A3" t="inlineStr">
        <is>
          <t>2026-03-30 05:57</t>
        </is>
      </c>
      <c r="B3" t="inlineStr">
        <is>
          <t>aviron</t>
        </is>
      </c>
      <c r="D3" t="n">
        <v>50</v>
      </c>
      <c r="E3" t="n">
        <v>68</v>
      </c>
      <c r="F3" t="inlineStr">
        <is>
          <t>Toronto, Ontario, Canada</t>
        </is>
      </c>
      <c r="G3" t="inlineStr">
        <is>
          <t>health, wellness &amp; fitness</t>
        </is>
      </c>
      <c r="H3" t="inlineStr">
        <is>
          <t>1M</t>
        </is>
      </c>
      <c r="I3" t="inlineStr">
        <is>
          <t>41.6M</t>
        </is>
      </c>
      <c r="J3" t="inlineStr">
        <is>
          <t>Aviron is a health, wellness &amp; fitness technology company based in Toronto, Canada, founded in 2018. They are in their Series A funding stage, having secured a substantial $41.6M in total funding. With an annual revenue of $1M, Aviron is actively expanding its market presence, with products now available direct-to-consumer and through retail partners in regions including the UK, Europe, and Asia, signaling early growth and a focus on international reach.</t>
        </is>
      </c>
      <c r="K3" t="inlineStr">
        <is>
          <t>Aviron was founded in 2018 and has raised $41.6M in total funding, reaching the Series A stage. While their current annual revenue is $1M, specific year-over-year revenue growth or headcount trajectories are not detailed in the provided data for the correct entity. The deep web research contained irrelevant financial filings for a different company also named Aviron from 2001, which are not applicable here. Insufficient historical financial reporting available for the prospect company.</t>
        </is>
      </c>
      <c r="L3" t="inlineStr">
        <is>
          <t>Aviron is a good fit based on its size (68 employees) and location (Toronto, Ontario), scoring full points in these critical categories. However, the prospect company received zero points for News &amp; Pain Signals, HR / People Ops Signals, and Culture &amp; Wellness Signals, as no relevant information was found to indicate recent scaling, hiring, or a focus on internal employee well-being within the provided data.</t>
        </is>
      </c>
      <c r="M3" t="inlineStr">
        <is>
          <t>Yes (Top: Andy Hoang - Founder and CEO)</t>
        </is>
      </c>
    </row>
    <row r="4">
      <c r="A4" t="inlineStr">
        <is>
          <t>2026-03-30 06:08</t>
        </is>
      </c>
      <c r="B4" t="inlineStr">
        <is>
          <t>Wealthsimple</t>
        </is>
      </c>
      <c r="D4" t="n">
        <v>37</v>
      </c>
      <c r="E4" t="n">
        <v>1700</v>
      </c>
      <c r="F4" t="inlineStr">
        <is>
          <t>Toronto, Ontario, Canada</t>
        </is>
      </c>
      <c r="G4" t="inlineStr">
        <is>
          <t>financial services</t>
        </is>
      </c>
      <c r="H4" t="inlineStr">
        <is>
          <t>297.3M</t>
        </is>
      </c>
      <c r="I4" t="inlineStr">
        <is>
          <t>1.4B</t>
        </is>
      </c>
      <c r="J4" t="inlineStr">
        <is>
          <t>Wealthsimple is a rapidly growing Toronto-based fintech company with an estimated annual revenue of $341.2M and total funding of $1.4B through its Series E round. The company is actively expanding its service offerings, recently clearing regulatory hurdles for prediction trading and becoming the first Canadian FinTech to join the SWIFT network. They have also partnered with Wise Platform to offer enhanced international payments services, demonstrating continuous market innovation. Wealthsimple shows strong market penetration in Canada, managing over $100 billion in assets and serving more than 3 million clients.</t>
        </is>
      </c>
      <c r="K4" t="inlineStr">
        <is>
          <t>Wealthsimple has demonstrated significant year-over-year growth, reporting a 94% increase in the past year, and has grown its client base to over 3 million. Since its founding in 2014, the company has successfully progressed to a Series E funding stage, accumulating a total of $1.4B in funding. Insufficient historical financial reporting was available for year-over-year revenue or headcount trajectories beyond the current 1700 employees.</t>
        </is>
      </c>
      <c r="L4" t="inlineStr">
        <is>
          <t>Wealthsimple scored low primarily due to its size of 1700 employees, which is significantly outside our software platform's ideal target range of 5-100 employees, incurring a severe penalty. However, the company received full points for being headquartered in Toronto, Ontario. Despite clear signals of rapid company growth and market expansion, there were no explicit HR or employee culture/wellness mentions on their website or in the news, further reducing the overall score.</t>
        </is>
      </c>
      <c r="M4" t="inlineStr">
        <is>
          <t>nan</t>
        </is>
      </c>
    </row>
    <row r="5">
      <c r="A5" t="inlineStr">
        <is>
          <t>2026-03-30 06:14</t>
        </is>
      </c>
      <c r="B5" t="inlineStr">
        <is>
          <t>GoMaterials</t>
        </is>
      </c>
      <c r="D5" t="n">
        <v>52</v>
      </c>
      <c r="E5" t="n">
        <v>77</v>
      </c>
      <c r="F5" t="inlineStr">
        <is>
          <t>Montreal, Quebec, Canada</t>
        </is>
      </c>
      <c r="G5" t="inlineStr">
        <is>
          <t>internet</t>
        </is>
      </c>
      <c r="H5" t="inlineStr">
        <is>
          <t>3M</t>
        </is>
      </c>
      <c r="I5" t="inlineStr">
        <is>
          <t>nan</t>
        </is>
      </c>
      <c r="J5" t="inlineStr">
        <is>
          <t>GoMaterials is a rapidly expanding B2B marketplace specializing in wholesale plant sourcing for the landscaping industry, reporting an estimated annual revenue of $7.4 million. The company, currently in its Seed funding stage, has demonstrated significant organic growth, marked by a 58% increase in employee count last year and recognition as one of Canada's Top Growing Companies. Operating across Canada and the US, GoMaterials shows strong market penetration and user growth, indicative of a successful and scaling business model.</t>
        </is>
      </c>
      <c r="K5" t="inlineStr">
        <is>
          <t>GoMaterials has experienced notable growth since its founding in 2017, with its estimated annual revenue increasing from an initial $3 million to $7.4 million. The company's headcount has also seen substantial expansion, growing by 58% last year, although current employee counts vary slightly between 57 and 77 across different data sources. As a Seed-stage company, its funding history reflects early investment without subsequent large public rounds, emphasizing its strong operational growth trajectory.</t>
        </is>
      </c>
      <c r="L5" t="inlineStr">
        <is>
          <t>GoMaterials scored 52/100. This score reflects full points for its ideal employee size (77, falling within 5-100 employees) and strong signals of rapid growth and scaling, including a 58% employee increase and recognition as a top growing company. However, the score was significantly impacted by zero points for its location (Montreal, Quebec, outside AB/ON) and a complete absence of public-facing information regarding employee culture, wellness initiatives, or explicit HR/People Ops hiring on its website.</t>
        </is>
      </c>
      <c r="M5" t="inlineStr">
        <is>
          <t>nan</t>
        </is>
      </c>
    </row>
    <row r="6">
      <c r="A6" t="inlineStr">
        <is>
          <t>2026-03-30 10:51</t>
        </is>
      </c>
      <c r="B6" t="inlineStr">
        <is>
          <t>Sidekick</t>
        </is>
      </c>
      <c r="D6" t="n">
        <v>70</v>
      </c>
      <c r="E6" t="n">
        <v>15</v>
      </c>
      <c r="F6" t="inlineStr">
        <is>
          <t>Toronto, Ontario, Canada</t>
        </is>
      </c>
      <c r="G6" t="inlineStr">
        <is>
          <t>retail</t>
        </is>
      </c>
      <c r="H6" t="inlineStr">
        <is>
          <t>Not Disclosed</t>
        </is>
      </c>
      <c r="I6" t="inlineStr">
        <is>
          <t>330K</t>
        </is>
      </c>
      <c r="J6" t="inlineStr">
        <is>
          <t>Sidekick is a Toronto-based retail company specializing in muscle recovery and injury rehabilitation tools, founded by Hin Lai. With 15 employees and $330K in total funding at the 'Other' stage, the company recorded $1.1M in revenue in 2025 and has amassed over 250,000 customers. They operate with international shipping, demonstrating an expansion into new markets, and their product line, which includes HSA/FSA approved tools, is deeply aligned with health and wellness.</t>
        </is>
      </c>
      <c r="K6" t="inlineStr">
        <is>
          <t>In 2025, Sidekick was reported to have 10 employees and generated $1.1 million in revenue. The company has since grown its team to 15 employees, as per current demographics, though current annual revenue figures are not disclosed. Total funding stands at $330K, with no specific funding history progression details available.</t>
        </is>
      </c>
      <c r="L6" t="inlineStr">
        <is>
          <t>Sidekick scored well due to its ideal size of 15 employees and its headquarters in Toronto, Ontario. While there were no explicit HR or recent news signals, the company's core business in health and wellness, coupled with its products being HSA/FSA approved, indicates a strong predisposition towards valuing employee well-being.</t>
        </is>
      </c>
      <c r="M6" t="inlineStr">
        <is>
          <t>nan</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2026-03-30T11:13:43Z</dcterms:created>
  <dcterms:modified xmlns:dcterms="http://purl.org/dc/terms/" xmlns:xsi="http://www.w3.org/2001/XMLSchema-instance" xsi:type="dcterms:W3CDTF">2026-03-30T11:13:43Z</dcterms:modified>
</cp:coreProperties>
</file>